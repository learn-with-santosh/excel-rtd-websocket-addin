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space\Github-Repo\Other Repo\excel-rtd-websocket-addin\"/>
    </mc:Choice>
  </mc:AlternateContent>
  <xr:revisionPtr revIDLastSave="0" documentId="13_ncr:1_{01455D7E-8931-4A79-80C8-E4BDE78DC67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</workbook>
</file>

<file path=xl/calcChain.xml><?xml version="1.0" encoding="utf-8"?>
<calcChain xmlns="http://schemas.openxmlformats.org/spreadsheetml/2006/main">
  <c r="H23" i="1" l="1"/>
  <c r="I23" i="1"/>
  <c r="J23" i="1"/>
  <c r="K23" i="1"/>
  <c r="H24" i="1"/>
  <c r="I24" i="1"/>
  <c r="J24" i="1"/>
  <c r="K24" i="1"/>
  <c r="E16" i="1"/>
  <c r="F16" i="1"/>
  <c r="G16" i="1"/>
  <c r="H16" i="1"/>
  <c r="O16" i="1"/>
  <c r="P16" i="1" s="1"/>
  <c r="Q16" i="1" s="1"/>
  <c r="R16" i="1" s="1"/>
  <c r="O15" i="1"/>
  <c r="P15" i="1" s="1"/>
  <c r="Q15" i="1" s="1"/>
  <c r="R15" i="1" s="1"/>
</calcChain>
</file>

<file path=xl/sharedStrings.xml><?xml version="1.0" encoding="utf-8"?>
<sst xmlns="http://schemas.openxmlformats.org/spreadsheetml/2006/main" count="19" uniqueCount="12">
  <si>
    <t>ACC.NS</t>
  </si>
  <si>
    <t>Last</t>
  </si>
  <si>
    <t>Open</t>
  </si>
  <si>
    <t>High</t>
  </si>
  <si>
    <t>Low</t>
  </si>
  <si>
    <t xml:space="preserve">INFY.NS	</t>
  </si>
  <si>
    <t>Symbol</t>
  </si>
  <si>
    <t>LAST</t>
  </si>
  <si>
    <t>OPEN</t>
  </si>
  <si>
    <t>HIGH</t>
  </si>
  <si>
    <t>LOW</t>
  </si>
  <si>
    <t>RELIANCE.NS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</si>
</sst>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BBBEBF"/>
      <name val="Consolas"/>
      <family val="3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 applyAlignment="1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" visibility="1" width="542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b5f6c3e-83eb-4b93-a97c-0e386bed12c2}">
  <we:reference id="8b5f6c3e-83eb-4b93-a97c-0e386bed12c2" version="1.0.0.1" store="developer" storeType="Registry"/>
  <we:alternateReferences/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 val="1"/>
    </a:ext>
    <a:ext xmlns:a="http://schemas.openxmlformats.org/drawingml/2006/main" uri="{7C84B067-C214-45C3-A712-C9D94CD141B2}">
      <we:customFunctionIdList>
        <we:customFunctionIds>_xldudf_COG_ADD</we:customFunctionIds>
        <we:customFunctionIds>_xldudf_COG_GREET</we:customFunctionIds>
        <we:customFunctionIds>_xldudf_COG_SAMPLESPILL</we:customFunctionIds>
        <we:customFunctionIds>_xldudf_COG_CLOCK</we:customFunctionIds>
        <we:customFunctionIds>_xldudf_COG_LOG</we:customFunctionIds>
        <we:customFunctionIds>_xldudf_COG_GETLIVEDATA</we:customFunctionIds>
        <we:customFunctionIds>_xldudf_COG_TESTSTREAM</we:customFunctionIds>
        <we:customFunctionIds>_xldudf_COG_SPILLDOWN</we:customFunctionIds>
        <we:customFunctionIds>_xldudf_COG_SPILLRIGHT</we:customFunctionIds>
        <we:customFunctionIds>_xldudf_COG_SPILLRECTANGLE</we:customFunctionIds>
        <we:customFunctionIds>_xldudf_COG_INCREMENT</we:customFunctionIds>
        <we:customFunctionIds>_xldudf_COG_CALCULATESQUARES</we:customFunctionIds>
      </we:customFunctionIdList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D14:R24"/>
  <sheetViews>
    <sheetView tabSelected="1" workbookViewId="0">
      <selection activeCell="R17" sqref="R17"/>
    </sheetView>
  </sheetViews>
  <sheetFormatPr defaultRowHeight="15" x14ac:dyDescent="0.25"/>
  <cols>
    <col min="15" max="15" width="9" bestFit="1" customWidth="1"/>
    <col min="17" max="17" width="5.5703125" bestFit="1" customWidth="1"/>
    <col min="18" max="18" width="16" bestFit="1" customWidth="1"/>
  </cols>
  <sheetData>
    <row r="14" spans="4:18" x14ac:dyDescent="0.25">
      <c r="O14" t="s">
        <v>1</v>
      </c>
      <c r="P14" t="s">
        <v>2</v>
      </c>
      <c r="Q14" t="s">
        <v>3</v>
      </c>
      <c r="R14" t="s">
        <v>4</v>
      </c>
    </row>
    <row r="15" spans="4:18" x14ac:dyDescent="0.25">
      <c r="D15" t="s">
        <v>6</v>
      </c>
      <c r="E15" t="s">
        <v>7</v>
      </c>
      <c r="F15" t="s">
        <v>8</v>
      </c>
      <c r="G15" t="s">
        <v>9</v>
      </c>
      <c r="H15" t="s">
        <v>10</v>
      </c>
      <c r="N15" t="s">
        <v>0</v>
      </c>
      <c r="O15" s="1" t="str">
        <f ca="1">_xldudf_COG_GETLIVEDATA(N15,O14)</f>
        <v>1633.75</v>
      </c>
      <c r="P15" s="1" t="str">
        <f t="shared" ref="P15:R15" ca="1" si="0">_xldudf_COG_GETLIVEDATA(O15,P14)</f>
        <v>1689</v>
      </c>
      <c r="Q15" s="1" t="e">
        <f t="shared" ca="1" si="0"/>
        <v>#N/A</v>
      </c>
      <c r="R15" s="1" t="e">
        <f t="shared" ca="1" si="0"/>
        <v>#N/A</v>
      </c>
    </row>
    <row r="16" spans="4:18" x14ac:dyDescent="0.25">
      <c r="D16" t="s">
        <v>0</v>
      </c>
      <c r="E16" t="str">
        <f ca="1">_xldudf_COG_GETLIVEDATA("ACC.NS","LAST")</f>
        <v>1633.75</v>
      </c>
      <c r="F16" t="str">
        <f ca="1">_xldudf_COG_GETLIVEDATA("ACC.NS","OPEN")</f>
        <v>1626</v>
      </c>
      <c r="G16" t="str">
        <f ca="1">_xldudf_COG_GETLIVEDATA("ACC.NS","HIGH")</f>
        <v>1633.75</v>
      </c>
      <c r="H16" t="str">
        <f ca="1">_xldudf_COG_GETLIVEDATA("ACC.NS","LOW")</f>
        <v>1620.43</v>
      </c>
      <c r="N16" t="s">
        <v>5</v>
      </c>
      <c r="O16" t="str">
        <f ca="1">_xldudf_COG_GETLIVEDATA(N16,O14)</f>
        <v>1074.88</v>
      </c>
      <c r="P16" t="str">
        <f t="shared" ref="P16:R16" ca="1" si="1">_xldudf_COG_GETLIVEDATA(O16,P14)</f>
        <v>1692</v>
      </c>
      <c r="Q16" t="e">
        <f t="shared" ca="1" si="1"/>
        <v>#N/A</v>
      </c>
      <c r="R16" t="e">
        <f t="shared" ca="1" si="1"/>
        <v>#N/A</v>
      </c>
    </row>
    <row r="22" spans="7:11" x14ac:dyDescent="0.25">
      <c r="G22" t="s">
        <v>6</v>
      </c>
      <c r="H22" t="s">
        <v>7</v>
      </c>
      <c r="I22" t="s">
        <v>8</v>
      </c>
      <c r="J22" t="s">
        <v>9</v>
      </c>
      <c r="K22" t="s">
        <v>10</v>
      </c>
    </row>
    <row r="23" spans="7:11" x14ac:dyDescent="0.25">
      <c r="G23" t="s">
        <v>0</v>
      </c>
      <c r="H23" t="str">
        <f ca="1">_xldudf_COG_GETLIVEDATA("ACC.NS","LAST")</f>
        <v>1633.75</v>
      </c>
      <c r="I23" t="str">
        <f ca="1">_xldudf_COG_GETLIVEDATA("ACC.NS","OPEN")</f>
        <v>1626</v>
      </c>
      <c r="J23" t="str">
        <f ca="1">_xldudf_COG_GETLIVEDATA("ACC.NS","HIGH")</f>
        <v>1633.75</v>
      </c>
      <c r="K23" t="str">
        <f ca="1">_xldudf_COG_GETLIVEDATA("ACC.NS","LOW")</f>
        <v>1620.43</v>
      </c>
    </row>
    <row r="24" spans="7:11" x14ac:dyDescent="0.25">
      <c r="G24" t="s">
        <v>11</v>
      </c>
      <c r="H24" t="str">
        <f ca="1">_xldudf_COG_GETLIVEDATA("RELIANCE.NS","LAST")</f>
        <v>1370.58</v>
      </c>
      <c r="I24" t="str">
        <f ca="1">_xldudf_COG_GETLIVEDATA("RELIANCE.NS","OPEN")</f>
        <v>1366</v>
      </c>
      <c r="J24" t="str">
        <f ca="1">_xldudf_COG_GETLIVEDATA("RELIANCE.NS","HIGH")</f>
        <v>1370.58</v>
      </c>
      <c r="K24" t="str">
        <f ca="1">_xldudf_COG_GETLIVEDATA("RELIANCE.NS","LOW")</f>
        <v>1363.13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Santosh Shelar</dc:creator>
  <cp:lastModifiedBy>Santosh Shelar</cp:lastModifiedBy>
  <dcterms:created xsi:type="dcterms:W3CDTF">2026-09-03T18:04:13Z</dcterms:created>
  <dcterms:modified xsi:type="dcterms:W3CDTF">2026-09-03T18:22:50Z</dcterms:modified>
</cp:coreProperties>
</file>